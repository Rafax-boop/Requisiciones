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fae\Desktop\DASC\2 semestre\Sistemas de info\"/>
    </mc:Choice>
  </mc:AlternateContent>
  <xr:revisionPtr revIDLastSave="0" documentId="13_ncr:1_{D6A9F3CC-0B39-41B4-8200-AD8563E5B579}" xr6:coauthVersionLast="47" xr6:coauthVersionMax="47" xr10:uidLastSave="{00000000-0000-0000-0000-000000000000}"/>
  <bookViews>
    <workbookView xWindow="-120" yWindow="-120" windowWidth="20730" windowHeight="11760" activeTab="3" xr2:uid="{C213A9E0-5192-4090-A4C1-5160B02B3F68}"/>
  </bookViews>
  <sheets>
    <sheet name="Menú principal" sheetId="4" r:id="rId1"/>
    <sheet name="Dulces" sheetId="1" r:id="rId2"/>
    <sheet name="Clientes frecuentes" sheetId="2" r:id="rId3"/>
    <sheet name="Ventas" sheetId="3" r:id="rId4"/>
    <sheet name="NUMEROS_DE_NOTA" sheetId="5" r:id="rId5"/>
  </sheets>
  <definedNames>
    <definedName name="_xlnm._FilterDatabase" localSheetId="3" hidden="1">Ventas!$A:$L</definedName>
    <definedName name="_xlnm.Extract" localSheetId="3">Ventas!$Q$1:$AB$1</definedName>
    <definedName name="_xlnm.Print_Area" localSheetId="3">Ventas!$AF$1:$AN$19</definedName>
    <definedName name="_xlnm.Criteria" localSheetId="3">Ventas!$O$1:$O$2</definedName>
    <definedName name="INICIO">NUMEROS_DE_NOTA!$A$2</definedName>
    <definedName name="INICIO_CLIENTES_FRECUENTES">'Clientes frecuentes'!$A$2</definedName>
    <definedName name="INICIO_TABLA_DULCES">Dulces!$A$2</definedName>
    <definedName name="INICIO_VENTAS">Ventas!$A$2</definedName>
    <definedName name="InicioNumDeNota">NUMEROS_DE_NOTA!$A$1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0" i="3" l="1"/>
  <c r="AK11" i="3"/>
  <c r="AK12" i="3"/>
  <c r="AK13" i="3"/>
  <c r="AK14" i="3"/>
  <c r="AK15" i="3"/>
  <c r="AK16" i="3"/>
  <c r="AK17" i="3"/>
  <c r="AK18" i="3"/>
  <c r="AK9" i="3"/>
  <c r="AH10" i="3"/>
  <c r="AI10" i="3"/>
  <c r="AJ10" i="3"/>
  <c r="AL10" i="3"/>
  <c r="AM10" i="3"/>
  <c r="AN10" i="3"/>
  <c r="AH11" i="3"/>
  <c r="AI11" i="3"/>
  <c r="AJ11" i="3"/>
  <c r="AL11" i="3"/>
  <c r="AM11" i="3"/>
  <c r="AN11" i="3"/>
  <c r="AH12" i="3"/>
  <c r="AI12" i="3"/>
  <c r="AJ12" i="3"/>
  <c r="AL12" i="3"/>
  <c r="AM12" i="3"/>
  <c r="AN12" i="3"/>
  <c r="AH13" i="3"/>
  <c r="AI13" i="3"/>
  <c r="AJ13" i="3"/>
  <c r="AL13" i="3"/>
  <c r="AM13" i="3"/>
  <c r="AN13" i="3"/>
  <c r="AH14" i="3"/>
  <c r="AI14" i="3"/>
  <c r="AJ14" i="3"/>
  <c r="AL14" i="3"/>
  <c r="AM14" i="3"/>
  <c r="AN14" i="3"/>
  <c r="AH15" i="3"/>
  <c r="AI15" i="3"/>
  <c r="AJ15" i="3"/>
  <c r="AL15" i="3"/>
  <c r="AM15" i="3"/>
  <c r="AN15" i="3"/>
  <c r="AH16" i="3"/>
  <c r="AI16" i="3"/>
  <c r="AJ16" i="3"/>
  <c r="AL16" i="3"/>
  <c r="AM16" i="3"/>
  <c r="AN16" i="3"/>
  <c r="AH17" i="3"/>
  <c r="AI17" i="3"/>
  <c r="AJ17" i="3"/>
  <c r="AL17" i="3"/>
  <c r="AM17" i="3"/>
  <c r="AN17" i="3"/>
  <c r="AH18" i="3"/>
  <c r="AI18" i="3"/>
  <c r="AJ18" i="3"/>
  <c r="AL18" i="3"/>
  <c r="AM18" i="3"/>
  <c r="AN18" i="3"/>
  <c r="AH9" i="3"/>
  <c r="AI9" i="3"/>
  <c r="AJ9" i="3"/>
  <c r="AL9" i="3"/>
  <c r="AM9" i="3"/>
  <c r="AN9" i="3"/>
  <c r="AN19" i="3" s="1"/>
  <c r="AG10" i="3"/>
  <c r="AG11" i="3"/>
  <c r="AG12" i="3"/>
  <c r="AG13" i="3"/>
  <c r="AG14" i="3"/>
  <c r="AG15" i="3"/>
  <c r="AG16" i="3"/>
  <c r="AG17" i="3"/>
  <c r="AG18" i="3"/>
  <c r="AG9" i="3"/>
  <c r="AH6" i="3"/>
  <c r="AH5" i="3"/>
  <c r="AN5" i="3"/>
  <c r="AN4" i="3"/>
</calcChain>
</file>

<file path=xl/sharedStrings.xml><?xml version="1.0" encoding="utf-8"?>
<sst xmlns="http://schemas.openxmlformats.org/spreadsheetml/2006/main" count="90" uniqueCount="50">
  <si>
    <t>CODIGO DE BARRA</t>
  </si>
  <si>
    <t>DESCRIPCIÓN</t>
  </si>
  <si>
    <t>PRECIO UNITARIO</t>
  </si>
  <si>
    <t>DESCUENTO</t>
  </si>
  <si>
    <t>STOCK</t>
  </si>
  <si>
    <t>NUMERO NOTA</t>
  </si>
  <si>
    <t>CLAVECLIENTE</t>
  </si>
  <si>
    <t>NOMBRE</t>
  </si>
  <si>
    <t>DESCRIPCION</t>
  </si>
  <si>
    <t>CANTIDAD</t>
  </si>
  <si>
    <t>TOTAL</t>
  </si>
  <si>
    <t>AHORRA</t>
  </si>
  <si>
    <t>CLAVE_CLIENTE</t>
  </si>
  <si>
    <t>PALETAS PAYASO</t>
  </si>
  <si>
    <t>POLVORONES</t>
  </si>
  <si>
    <t>MAZAPAN</t>
  </si>
  <si>
    <t>JOSÉ</t>
  </si>
  <si>
    <t>MARÍA</t>
  </si>
  <si>
    <t>LUIS</t>
  </si>
  <si>
    <t>PALETAS TUPSI</t>
  </si>
  <si>
    <t>GALLETAS MARIA</t>
  </si>
  <si>
    <t>CHOCOLATES</t>
  </si>
  <si>
    <t>CACAHUATES</t>
  </si>
  <si>
    <t>BOMBONES</t>
  </si>
  <si>
    <t>GOMITAS</t>
  </si>
  <si>
    <t>PANDITAS</t>
  </si>
  <si>
    <t>PAPAS</t>
  </si>
  <si>
    <t>REFRESCOS</t>
  </si>
  <si>
    <t>CACHETADAS</t>
  </si>
  <si>
    <t>DULCES</t>
  </si>
  <si>
    <t>CORAZONES</t>
  </si>
  <si>
    <t>PAN</t>
  </si>
  <si>
    <t>MARGARTITA</t>
  </si>
  <si>
    <t>LUISA</t>
  </si>
  <si>
    <t>JOSE LUIS</t>
  </si>
  <si>
    <t>LETICIA</t>
  </si>
  <si>
    <t>RAMÓN</t>
  </si>
  <si>
    <t>PATY</t>
  </si>
  <si>
    <t>PEDRO</t>
  </si>
  <si>
    <t>NumNota</t>
  </si>
  <si>
    <t>FechaDeLaCompra</t>
  </si>
  <si>
    <t>SUBTOTAL</t>
  </si>
  <si>
    <t>BIENVENIDO AL MENÚ PRINCIPAL</t>
  </si>
  <si>
    <t>Fecha</t>
  </si>
  <si>
    <t>Folio:</t>
  </si>
  <si>
    <t>Nombre:</t>
  </si>
  <si>
    <t>Clave Cliente:</t>
  </si>
  <si>
    <t>Fecha:</t>
  </si>
  <si>
    <t>Num_Renglón</t>
  </si>
  <si>
    <t>DULCERIA MIEL, S.A DE C.V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</si>
</sst>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€&quot;_-;\-* #,##0.0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0" fontId="0" fillId="4" borderId="0" xfId="0" applyNumberFormat="1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/>
    </xf>
    <xf numFmtId="0" fontId="0" fillId="6" borderId="1" xfId="0" applyFill="1" applyBorder="1"/>
    <xf numFmtId="0" fontId="0" fillId="0" borderId="1" xfId="0" applyBorder="1"/>
    <xf numFmtId="9" fontId="0" fillId="0" borderId="1" xfId="2" applyFont="1" applyBorder="1"/>
    <xf numFmtId="164" fontId="0" fillId="0" borderId="1" xfId="1" applyFont="1" applyBorder="1"/>
    <xf numFmtId="0" fontId="5" fillId="0" borderId="1" xfId="0" applyFont="1" applyBorder="1"/>
    <xf numFmtId="164" fontId="5" fillId="0" borderId="1" xfId="1" applyFont="1" applyFill="1" applyBorder="1"/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dfreephotos.com/vector-images/two-lollipops-vector-clipart.png.php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6</xdr:row>
          <xdr:rowOff>104775</xdr:rowOff>
        </xdr:from>
        <xdr:to>
          <xdr:col>7</xdr:col>
          <xdr:colOff>19050</xdr:colOff>
          <xdr:row>9</xdr:row>
          <xdr:rowOff>0</xdr:rowOff>
        </xdr:to>
        <xdr:sp macro="" textlink="">
          <xdr:nvSpPr>
            <xdr:cNvPr id="4097" name="ALTA PRODUCT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ALTA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57150</xdr:rowOff>
        </xdr:from>
        <xdr:to>
          <xdr:col>7</xdr:col>
          <xdr:colOff>57150</xdr:colOff>
          <xdr:row>12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ALTA 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47625</xdr:rowOff>
        </xdr:from>
        <xdr:to>
          <xdr:col>7</xdr:col>
          <xdr:colOff>28575</xdr:colOff>
          <xdr:row>16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6</xdr:row>
          <xdr:rowOff>104775</xdr:rowOff>
        </xdr:from>
        <xdr:to>
          <xdr:col>11</xdr:col>
          <xdr:colOff>323850</xdr:colOff>
          <xdr:row>9</xdr:row>
          <xdr:rowOff>19050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DULCE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10</xdr:row>
          <xdr:rowOff>66675</xdr:rowOff>
        </xdr:from>
        <xdr:to>
          <xdr:col>11</xdr:col>
          <xdr:colOff>295275</xdr:colOff>
          <xdr:row>13</xdr:row>
          <xdr:rowOff>9525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13</xdr:row>
          <xdr:rowOff>152400</xdr:rowOff>
        </xdr:from>
        <xdr:to>
          <xdr:col>11</xdr:col>
          <xdr:colOff>276225</xdr:colOff>
          <xdr:row>16</xdr:row>
          <xdr:rowOff>95250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NOTA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552450</xdr:colOff>
      <xdr:row>1</xdr:row>
      <xdr:rowOff>66675</xdr:rowOff>
    </xdr:from>
    <xdr:to>
      <xdr:col>33</xdr:col>
      <xdr:colOff>279596</xdr:colOff>
      <xdr:row>4</xdr:row>
      <xdr:rowOff>19197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8213050" y="361950"/>
          <a:ext cx="889196" cy="6668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595E-C63D-4627-AF6D-F83DB1FD46DD}">
  <sheetPr codeName="Hoja4"/>
  <dimension ref="G3:J4"/>
  <sheetViews>
    <sheetView showGridLines="0" workbookViewId="0">
      <selection activeCell="G13" sqref="G13"/>
    </sheetView>
  </sheetViews>
  <sheetFormatPr baseColWidth="10" defaultRowHeight="15" x14ac:dyDescent="0.25"/>
  <cols>
    <col min="1" max="16384" width="11.42578125" style="1"/>
  </cols>
  <sheetData>
    <row r="3" spans="7:10" x14ac:dyDescent="0.25">
      <c r="G3" s="19" t="s">
        <v>42</v>
      </c>
      <c r="H3" s="19"/>
      <c r="I3" s="19"/>
      <c r="J3" s="19"/>
    </row>
    <row r="4" spans="7:10" x14ac:dyDescent="0.25">
      <c r="G4" s="19"/>
      <c r="H4" s="19"/>
      <c r="I4" s="19"/>
      <c r="J4" s="19"/>
    </row>
  </sheetData>
  <mergeCells count="1">
    <mergeCell ref="G3:J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ALTA PRODUCTO">
              <controlPr defaultSize="0" print="0" autoFill="0" autoPict="0" macro="[0]!MostrarAltaProducto">
                <anchor moveWithCells="1">
                  <from>
                    <xdr:col>3</xdr:col>
                    <xdr:colOff>752475</xdr:colOff>
                    <xdr:row>6</xdr:row>
                    <xdr:rowOff>104775</xdr:rowOff>
                  </from>
                  <to>
                    <xdr:col>7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strarAltaClientes">
                <anchor moveWithCells="1">
                  <from>
                    <xdr:col>4</xdr:col>
                    <xdr:colOff>0</xdr:colOff>
                    <xdr:row>10</xdr:row>
                    <xdr:rowOff>57150</xdr:rowOff>
                  </from>
                  <to>
                    <xdr:col>7</xdr:col>
                    <xdr:colOff>57150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MostrarVentas">
                <anchor moveWithCells="1">
                  <from>
                    <xdr:col>4</xdr:col>
                    <xdr:colOff>28575</xdr:colOff>
                    <xdr:row>14</xdr:row>
                    <xdr:rowOff>47625</xdr:rowOff>
                  </from>
                  <to>
                    <xdr:col>7</xdr:col>
                    <xdr:colOff>28575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Mostrardulce">
                <anchor moveWithCells="1" sizeWithCells="1">
                  <from>
                    <xdr:col>8</xdr:col>
                    <xdr:colOff>381000</xdr:colOff>
                    <xdr:row>6</xdr:row>
                    <xdr:rowOff>104775</xdr:rowOff>
                  </from>
                  <to>
                    <xdr:col>11</xdr:col>
                    <xdr:colOff>323850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mostrarcliente">
                <anchor moveWithCells="1" sizeWithCells="1">
                  <from>
                    <xdr:col>8</xdr:col>
                    <xdr:colOff>419100</xdr:colOff>
                    <xdr:row>10</xdr:row>
                    <xdr:rowOff>66675</xdr:rowOff>
                  </from>
                  <to>
                    <xdr:col>11</xdr:col>
                    <xdr:colOff>295275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mostrarventa">
                <anchor moveWithCells="1" sizeWithCells="1">
                  <from>
                    <xdr:col>8</xdr:col>
                    <xdr:colOff>400050</xdr:colOff>
                    <xdr:row>13</xdr:row>
                    <xdr:rowOff>152400</xdr:rowOff>
                  </from>
                  <to>
                    <xdr:col>11</xdr:col>
                    <xdr:colOff>276225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2D3E7-E548-4FC2-972F-AB230C84768B}">
  <sheetPr codeName="Hoja1"/>
  <dimension ref="A1:E17"/>
  <sheetViews>
    <sheetView workbookViewId="0">
      <selection activeCell="A17" sqref="A17"/>
    </sheetView>
  </sheetViews>
  <sheetFormatPr baseColWidth="10" defaultRowHeight="15" x14ac:dyDescent="0.25"/>
  <cols>
    <col min="1" max="1" width="17.42578125" bestFit="1" customWidth="1"/>
    <col min="2" max="2" width="16.28515625" bestFit="1" customWidth="1"/>
    <col min="3" max="3" width="16.7109375" bestFit="1" customWidth="1"/>
    <col min="4" max="4" width="11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100</v>
      </c>
      <c r="B2" t="s">
        <v>13</v>
      </c>
      <c r="C2">
        <v>150</v>
      </c>
      <c r="D2">
        <v>10</v>
      </c>
      <c r="E2">
        <v>90</v>
      </c>
    </row>
    <row r="3" spans="1:5" x14ac:dyDescent="0.25">
      <c r="A3">
        <v>101</v>
      </c>
      <c r="B3" t="s">
        <v>14</v>
      </c>
      <c r="C3">
        <v>120</v>
      </c>
      <c r="D3">
        <v>15</v>
      </c>
      <c r="E3">
        <v>200</v>
      </c>
    </row>
    <row r="4" spans="1:5" x14ac:dyDescent="0.25">
      <c r="A4">
        <v>102</v>
      </c>
      <c r="B4" t="s">
        <v>15</v>
      </c>
      <c r="C4">
        <v>80</v>
      </c>
      <c r="D4">
        <v>20</v>
      </c>
      <c r="E4">
        <v>150</v>
      </c>
    </row>
    <row r="5" spans="1:5" x14ac:dyDescent="0.25">
      <c r="A5">
        <v>103</v>
      </c>
      <c r="B5" t="s">
        <v>19</v>
      </c>
      <c r="C5">
        <v>150</v>
      </c>
      <c r="D5">
        <v>10</v>
      </c>
      <c r="E5">
        <v>100</v>
      </c>
    </row>
    <row r="6" spans="1:5" x14ac:dyDescent="0.25">
      <c r="A6">
        <v>104</v>
      </c>
      <c r="B6" t="s">
        <v>20</v>
      </c>
      <c r="C6">
        <v>120</v>
      </c>
      <c r="D6">
        <v>15</v>
      </c>
      <c r="E6">
        <v>170</v>
      </c>
    </row>
    <row r="7" spans="1:5" x14ac:dyDescent="0.25">
      <c r="A7">
        <v>105</v>
      </c>
      <c r="B7" t="s">
        <v>21</v>
      </c>
      <c r="C7">
        <v>80</v>
      </c>
      <c r="D7">
        <v>20</v>
      </c>
      <c r="E7">
        <v>150</v>
      </c>
    </row>
    <row r="8" spans="1:5" x14ac:dyDescent="0.25">
      <c r="A8">
        <v>106</v>
      </c>
      <c r="B8" t="s">
        <v>22</v>
      </c>
      <c r="C8">
        <v>150</v>
      </c>
      <c r="D8">
        <v>10</v>
      </c>
      <c r="E8">
        <v>100</v>
      </c>
    </row>
    <row r="9" spans="1:5" x14ac:dyDescent="0.25">
      <c r="A9">
        <v>107</v>
      </c>
      <c r="B9" t="s">
        <v>23</v>
      </c>
      <c r="C9">
        <v>120</v>
      </c>
      <c r="D9">
        <v>15</v>
      </c>
      <c r="E9">
        <v>200</v>
      </c>
    </row>
    <row r="10" spans="1:5" x14ac:dyDescent="0.25">
      <c r="A10">
        <v>108</v>
      </c>
      <c r="B10" t="s">
        <v>24</v>
      </c>
      <c r="C10">
        <v>80</v>
      </c>
      <c r="D10">
        <v>20</v>
      </c>
      <c r="E10">
        <v>150</v>
      </c>
    </row>
    <row r="11" spans="1:5" x14ac:dyDescent="0.25">
      <c r="A11">
        <v>109</v>
      </c>
      <c r="B11" t="s">
        <v>25</v>
      </c>
      <c r="C11">
        <v>150</v>
      </c>
      <c r="D11">
        <v>10</v>
      </c>
      <c r="E11">
        <v>97</v>
      </c>
    </row>
    <row r="12" spans="1:5" x14ac:dyDescent="0.25">
      <c r="A12">
        <v>110</v>
      </c>
      <c r="B12" t="s">
        <v>26</v>
      </c>
      <c r="C12">
        <v>120</v>
      </c>
      <c r="D12">
        <v>15</v>
      </c>
      <c r="E12">
        <v>200</v>
      </c>
    </row>
    <row r="13" spans="1:5" x14ac:dyDescent="0.25">
      <c r="A13">
        <v>111</v>
      </c>
      <c r="B13" t="s">
        <v>27</v>
      </c>
      <c r="C13">
        <v>80</v>
      </c>
      <c r="D13">
        <v>20</v>
      </c>
      <c r="E13">
        <v>150</v>
      </c>
    </row>
    <row r="14" spans="1:5" x14ac:dyDescent="0.25">
      <c r="A14">
        <v>112</v>
      </c>
      <c r="B14" t="s">
        <v>28</v>
      </c>
      <c r="C14">
        <v>150</v>
      </c>
      <c r="D14">
        <v>10</v>
      </c>
      <c r="E14">
        <v>100</v>
      </c>
    </row>
    <row r="15" spans="1:5" x14ac:dyDescent="0.25">
      <c r="A15">
        <v>113</v>
      </c>
      <c r="B15" t="s">
        <v>29</v>
      </c>
      <c r="C15">
        <v>120</v>
      </c>
      <c r="D15">
        <v>15</v>
      </c>
      <c r="E15">
        <v>200</v>
      </c>
    </row>
    <row r="16" spans="1:5" x14ac:dyDescent="0.25">
      <c r="A16">
        <v>114</v>
      </c>
      <c r="B16" t="s">
        <v>30</v>
      </c>
      <c r="C16">
        <v>80</v>
      </c>
      <c r="D16">
        <v>20</v>
      </c>
      <c r="E16">
        <v>150</v>
      </c>
    </row>
    <row r="17" spans="1:5" x14ac:dyDescent="0.25">
      <c r="A17">
        <v>115</v>
      </c>
      <c r="B17" t="s">
        <v>31</v>
      </c>
      <c r="C17">
        <v>150</v>
      </c>
      <c r="D17">
        <v>10</v>
      </c>
      <c r="E17">
        <v>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B23C-598D-4920-A713-A7065C322119}">
  <sheetPr codeName="Hoja2"/>
  <dimension ref="A1:B11"/>
  <sheetViews>
    <sheetView workbookViewId="0">
      <selection activeCell="B2" sqref="B2"/>
    </sheetView>
  </sheetViews>
  <sheetFormatPr baseColWidth="10" defaultRowHeight="15" x14ac:dyDescent="0.25"/>
  <cols>
    <col min="1" max="1" width="14.5703125" bestFit="1" customWidth="1"/>
    <col min="2" max="2" width="32.140625" customWidth="1"/>
  </cols>
  <sheetData>
    <row r="1" spans="1:2" x14ac:dyDescent="0.25">
      <c r="A1" t="s">
        <v>12</v>
      </c>
      <c r="B1" t="s">
        <v>7</v>
      </c>
    </row>
    <row r="2" spans="1:2" x14ac:dyDescent="0.25">
      <c r="A2">
        <v>1</v>
      </c>
      <c r="B2" t="s">
        <v>16</v>
      </c>
    </row>
    <row r="3" spans="1:2" x14ac:dyDescent="0.25">
      <c r="A3">
        <v>2</v>
      </c>
      <c r="B3" t="s">
        <v>17</v>
      </c>
    </row>
    <row r="4" spans="1:2" x14ac:dyDescent="0.25">
      <c r="A4">
        <v>3</v>
      </c>
      <c r="B4" t="s">
        <v>18</v>
      </c>
    </row>
    <row r="5" spans="1:2" x14ac:dyDescent="0.25">
      <c r="A5">
        <v>4</v>
      </c>
      <c r="B5" t="s">
        <v>32</v>
      </c>
    </row>
    <row r="6" spans="1:2" x14ac:dyDescent="0.25">
      <c r="A6">
        <v>5</v>
      </c>
      <c r="B6" t="s">
        <v>33</v>
      </c>
    </row>
    <row r="7" spans="1:2" x14ac:dyDescent="0.25">
      <c r="A7">
        <v>6</v>
      </c>
      <c r="B7" t="s">
        <v>34</v>
      </c>
    </row>
    <row r="8" spans="1:2" x14ac:dyDescent="0.25">
      <c r="A8">
        <v>7</v>
      </c>
      <c r="B8" t="s">
        <v>35</v>
      </c>
    </row>
    <row r="9" spans="1:2" x14ac:dyDescent="0.25">
      <c r="A9">
        <v>8</v>
      </c>
      <c r="B9" t="s">
        <v>36</v>
      </c>
    </row>
    <row r="10" spans="1:2" x14ac:dyDescent="0.25">
      <c r="A10">
        <v>9</v>
      </c>
      <c r="B10" t="s">
        <v>37</v>
      </c>
    </row>
    <row r="11" spans="1:2" x14ac:dyDescent="0.25">
      <c r="A11">
        <v>10</v>
      </c>
      <c r="B11" t="s"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47DE5-D67E-4115-9B9A-6406A8714D7D}">
  <sheetPr codeName="Hoja3">
    <pageSetUpPr fitToPage="1"/>
  </sheetPr>
  <dimension ref="A1:AN19"/>
  <sheetViews>
    <sheetView tabSelected="1" topLeftCell="AA1" workbookViewId="0">
      <selection activeCell="AM21" sqref="AM21"/>
    </sheetView>
  </sheetViews>
  <sheetFormatPr baseColWidth="10" defaultRowHeight="15" x14ac:dyDescent="0.25"/>
  <cols>
    <col min="1" max="1" width="14.5703125" style="4" bestFit="1" customWidth="1"/>
    <col min="2" max="3" width="13.5703125" style="4" bestFit="1" customWidth="1"/>
    <col min="4" max="5" width="17.42578125" style="4" bestFit="1" customWidth="1"/>
    <col min="6" max="6" width="16.28515625" style="4" bestFit="1" customWidth="1"/>
    <col min="7" max="7" width="10.28515625" style="4" bestFit="1" customWidth="1"/>
    <col min="8" max="8" width="16.7109375" style="4" bestFit="1" customWidth="1"/>
    <col min="9" max="12" width="11.42578125" style="4"/>
    <col min="15" max="15" width="14.5703125" bestFit="1" customWidth="1"/>
    <col min="17" max="17" width="14.5703125" bestFit="1" customWidth="1"/>
    <col min="19" max="19" width="13.5703125" bestFit="1" customWidth="1"/>
    <col min="20" max="20" width="8.85546875" bestFit="1" customWidth="1"/>
    <col min="21" max="21" width="17.42578125" bestFit="1" customWidth="1"/>
    <col min="22" max="22" width="12.85546875" bestFit="1" customWidth="1"/>
    <col min="24" max="24" width="16.7109375" bestFit="1" customWidth="1"/>
    <col min="32" max="32" width="13.5703125" bestFit="1" customWidth="1"/>
    <col min="33" max="33" width="17.42578125" bestFit="1" customWidth="1"/>
    <col min="34" max="34" width="16.140625" bestFit="1" customWidth="1"/>
    <col min="36" max="36" width="16.7109375" bestFit="1" customWidth="1"/>
    <col min="40" max="40" width="14.42578125" bestFit="1" customWidth="1"/>
  </cols>
  <sheetData>
    <row r="1" spans="1:40" ht="23.25" x14ac:dyDescent="0.35">
      <c r="A1" s="3" t="s">
        <v>5</v>
      </c>
      <c r="B1" s="3" t="s">
        <v>43</v>
      </c>
      <c r="C1" s="3" t="s">
        <v>6</v>
      </c>
      <c r="D1" s="3" t="s">
        <v>7</v>
      </c>
      <c r="E1" s="3" t="s">
        <v>0</v>
      </c>
      <c r="F1" s="3" t="s">
        <v>8</v>
      </c>
      <c r="G1" s="3" t="s">
        <v>9</v>
      </c>
      <c r="H1" s="3" t="s">
        <v>2</v>
      </c>
      <c r="I1" s="3" t="s">
        <v>3</v>
      </c>
      <c r="J1" s="3" t="s">
        <v>10</v>
      </c>
      <c r="K1" s="3" t="s">
        <v>11</v>
      </c>
      <c r="L1" s="3" t="s">
        <v>41</v>
      </c>
      <c r="O1" s="8" t="s">
        <v>5</v>
      </c>
      <c r="Q1" s="8" t="s">
        <v>5</v>
      </c>
      <c r="R1" s="8" t="s">
        <v>43</v>
      </c>
      <c r="S1" s="8" t="s">
        <v>6</v>
      </c>
      <c r="T1" s="8" t="s">
        <v>7</v>
      </c>
      <c r="U1" s="8" t="s">
        <v>0</v>
      </c>
      <c r="V1" s="8" t="s">
        <v>8</v>
      </c>
      <c r="W1" s="8" t="s">
        <v>9</v>
      </c>
      <c r="X1" s="8" t="s">
        <v>2</v>
      </c>
      <c r="Y1" s="8" t="s">
        <v>3</v>
      </c>
      <c r="Z1" s="8" t="s">
        <v>10</v>
      </c>
      <c r="AA1" s="8" t="s">
        <v>11</v>
      </c>
      <c r="AB1" s="8" t="s">
        <v>41</v>
      </c>
      <c r="AH1" s="20" t="s">
        <v>49</v>
      </c>
      <c r="AI1" s="20"/>
      <c r="AJ1" s="20"/>
      <c r="AK1" s="20"/>
      <c r="AL1" s="20"/>
    </row>
    <row r="2" spans="1:40" x14ac:dyDescent="0.25">
      <c r="A2" s="4">
        <v>1</v>
      </c>
      <c r="B2" s="5">
        <v>44363</v>
      </c>
      <c r="C2" s="6">
        <v>1</v>
      </c>
      <c r="D2" s="4" t="s">
        <v>16</v>
      </c>
      <c r="E2" s="4">
        <v>100</v>
      </c>
      <c r="F2" s="4" t="s">
        <v>13</v>
      </c>
      <c r="G2" s="4">
        <v>10</v>
      </c>
      <c r="H2" s="4">
        <v>150</v>
      </c>
      <c r="I2" s="4">
        <v>10</v>
      </c>
      <c r="J2" s="4">
        <v>1500</v>
      </c>
      <c r="K2" s="4">
        <v>150</v>
      </c>
      <c r="L2" s="4">
        <v>1350</v>
      </c>
      <c r="O2" s="7">
        <v>2</v>
      </c>
      <c r="Q2" s="4">
        <v>2</v>
      </c>
      <c r="R2" s="5">
        <v>44363</v>
      </c>
      <c r="S2" s="4">
        <v>2</v>
      </c>
      <c r="T2" s="4" t="s">
        <v>17</v>
      </c>
      <c r="U2" s="4">
        <v>104</v>
      </c>
      <c r="V2" s="4" t="s">
        <v>20</v>
      </c>
      <c r="W2" s="4">
        <v>30</v>
      </c>
      <c r="X2" s="4">
        <v>120</v>
      </c>
      <c r="Y2" s="4">
        <v>15</v>
      </c>
      <c r="Z2" s="4">
        <v>3600</v>
      </c>
      <c r="AA2" s="4">
        <v>540</v>
      </c>
      <c r="AB2" s="4">
        <v>3060</v>
      </c>
    </row>
    <row r="3" spans="1:40" x14ac:dyDescent="0.25">
      <c r="A3" s="4">
        <v>1</v>
      </c>
      <c r="B3" s="5">
        <v>44363</v>
      </c>
      <c r="C3" s="6">
        <v>1</v>
      </c>
      <c r="D3" s="4" t="s">
        <v>16</v>
      </c>
      <c r="E3" s="4">
        <v>115</v>
      </c>
      <c r="F3" s="4" t="s">
        <v>31</v>
      </c>
      <c r="G3" s="4">
        <v>2</v>
      </c>
      <c r="H3" s="4">
        <v>150</v>
      </c>
      <c r="I3" s="4">
        <v>10</v>
      </c>
      <c r="J3" s="4">
        <v>300</v>
      </c>
      <c r="K3" s="4">
        <v>30</v>
      </c>
      <c r="L3" s="4">
        <v>270</v>
      </c>
      <c r="Q3" s="4">
        <v>2</v>
      </c>
      <c r="R3" s="5">
        <v>44363</v>
      </c>
      <c r="S3" s="4">
        <v>2</v>
      </c>
      <c r="T3" s="4" t="s">
        <v>17</v>
      </c>
      <c r="U3" s="4">
        <v>109</v>
      </c>
      <c r="V3" s="4" t="s">
        <v>25</v>
      </c>
      <c r="W3" s="4">
        <v>3</v>
      </c>
      <c r="X3" s="4">
        <v>150</v>
      </c>
      <c r="Y3" s="4">
        <v>10</v>
      </c>
      <c r="Z3" s="4">
        <v>450</v>
      </c>
      <c r="AA3" s="4">
        <v>45</v>
      </c>
      <c r="AB3" s="4">
        <v>405</v>
      </c>
    </row>
    <row r="4" spans="1:40" ht="26.25" x14ac:dyDescent="0.4">
      <c r="A4" s="4">
        <v>2</v>
      </c>
      <c r="B4" s="5">
        <v>44363</v>
      </c>
      <c r="C4" s="4">
        <v>2</v>
      </c>
      <c r="D4" s="4" t="s">
        <v>17</v>
      </c>
      <c r="E4" s="4">
        <v>104</v>
      </c>
      <c r="F4" s="4" t="s">
        <v>20</v>
      </c>
      <c r="G4" s="4">
        <v>30</v>
      </c>
      <c r="H4" s="4">
        <v>120</v>
      </c>
      <c r="I4" s="4">
        <v>15</v>
      </c>
      <c r="J4" s="4">
        <v>3600</v>
      </c>
      <c r="K4" s="4">
        <v>540</v>
      </c>
      <c r="L4" s="4">
        <v>3060</v>
      </c>
      <c r="AM4" s="10" t="s">
        <v>44</v>
      </c>
      <c r="AN4" s="12">
        <f>Q2</f>
        <v>2</v>
      </c>
    </row>
    <row r="5" spans="1:40" x14ac:dyDescent="0.25">
      <c r="A5" s="4">
        <v>2</v>
      </c>
      <c r="B5" s="5">
        <v>44363</v>
      </c>
      <c r="C5" s="4">
        <v>2</v>
      </c>
      <c r="D5" s="4" t="s">
        <v>17</v>
      </c>
      <c r="E5" s="4">
        <v>109</v>
      </c>
      <c r="F5" s="4" t="s">
        <v>25</v>
      </c>
      <c r="G5" s="4">
        <v>3</v>
      </c>
      <c r="H5" s="4">
        <v>150</v>
      </c>
      <c r="I5" s="4">
        <v>10</v>
      </c>
      <c r="J5" s="4">
        <v>450</v>
      </c>
      <c r="K5" s="4">
        <v>45</v>
      </c>
      <c r="L5" s="4">
        <v>405</v>
      </c>
      <c r="AG5" s="9" t="s">
        <v>46</v>
      </c>
      <c r="AH5" s="11">
        <f>S2</f>
        <v>2</v>
      </c>
      <c r="AM5" s="9" t="s">
        <v>47</v>
      </c>
      <c r="AN5" s="2">
        <f>R2</f>
        <v>44363</v>
      </c>
    </row>
    <row r="6" spans="1:40" x14ac:dyDescent="0.25">
      <c r="AG6" s="9" t="s">
        <v>45</v>
      </c>
      <c r="AH6" t="str">
        <f>T2</f>
        <v>MARÍA</v>
      </c>
    </row>
    <row r="8" spans="1:40" x14ac:dyDescent="0.25">
      <c r="AF8" s="13" t="s">
        <v>48</v>
      </c>
      <c r="AG8" s="13" t="s">
        <v>0</v>
      </c>
      <c r="AH8" s="13" t="s">
        <v>8</v>
      </c>
      <c r="AI8" s="13" t="s">
        <v>9</v>
      </c>
      <c r="AJ8" s="13" t="s">
        <v>2</v>
      </c>
      <c r="AK8" s="13" t="s">
        <v>3</v>
      </c>
      <c r="AL8" s="13" t="s">
        <v>10</v>
      </c>
      <c r="AM8" s="13" t="s">
        <v>11</v>
      </c>
      <c r="AN8" s="13" t="s">
        <v>41</v>
      </c>
    </row>
    <row r="9" spans="1:40" x14ac:dyDescent="0.25">
      <c r="AF9" s="14">
        <v>1</v>
      </c>
      <c r="AG9" s="14">
        <f>IF(U2="","",U2)</f>
        <v>104</v>
      </c>
      <c r="AH9" s="14" t="str">
        <f t="shared" ref="AH9:AN9" si="0">IF(V2="","",V2)</f>
        <v>GALLETAS MARIA</v>
      </c>
      <c r="AI9" s="14">
        <f t="shared" si="0"/>
        <v>30</v>
      </c>
      <c r="AJ9" s="14">
        <f t="shared" si="0"/>
        <v>120</v>
      </c>
      <c r="AK9" s="15">
        <f>IF(Y2="","",Y2)/100</f>
        <v>0.15</v>
      </c>
      <c r="AL9" s="16">
        <f t="shared" si="0"/>
        <v>3600</v>
      </c>
      <c r="AM9" s="16">
        <f t="shared" si="0"/>
        <v>540</v>
      </c>
      <c r="AN9" s="16">
        <f t="shared" si="0"/>
        <v>3060</v>
      </c>
    </row>
    <row r="10" spans="1:40" x14ac:dyDescent="0.25">
      <c r="AF10" s="14">
        <v>2</v>
      </c>
      <c r="AG10" s="14">
        <f t="shared" ref="AG10:AG18" si="1">IF(U3="","",U3)</f>
        <v>109</v>
      </c>
      <c r="AH10" s="14" t="str">
        <f t="shared" ref="AH10:AH18" si="2">IF(V3="","",V3)</f>
        <v>PANDITAS</v>
      </c>
      <c r="AI10" s="14">
        <f t="shared" ref="AI10:AI18" si="3">IF(W3="","",W3)</f>
        <v>3</v>
      </c>
      <c r="AJ10" s="14">
        <f t="shared" ref="AJ10:AJ18" si="4">IF(X3="","",X3)</f>
        <v>150</v>
      </c>
      <c r="AK10" s="15">
        <f t="shared" ref="AK10:AK18" si="5">IF(Y3="","",Y3)/100</f>
        <v>0.1</v>
      </c>
      <c r="AL10" s="16">
        <f t="shared" ref="AL10:AL18" si="6">IF(Z3="","",Z3)</f>
        <v>450</v>
      </c>
      <c r="AM10" s="16">
        <f t="shared" ref="AM10:AM18" si="7">IF(AA3="","",AA3)</f>
        <v>45</v>
      </c>
      <c r="AN10" s="16">
        <f t="shared" ref="AN10:AN18" si="8">IF(AB3="","",AB3)</f>
        <v>405</v>
      </c>
    </row>
    <row r="11" spans="1:40" x14ac:dyDescent="0.25">
      <c r="AF11" s="14">
        <v>3</v>
      </c>
      <c r="AG11" s="14" t="str">
        <f t="shared" si="1"/>
        <v/>
      </c>
      <c r="AH11" s="14" t="str">
        <f t="shared" si="2"/>
        <v/>
      </c>
      <c r="AI11" s="14" t="str">
        <f t="shared" si="3"/>
        <v/>
      </c>
      <c r="AJ11" s="14" t="str">
        <f t="shared" si="4"/>
        <v/>
      </c>
      <c r="AK11" s="15" t="e">
        <f t="shared" si="5"/>
        <v>#VALUE!</v>
      </c>
      <c r="AL11" s="16" t="str">
        <f t="shared" si="6"/>
        <v/>
      </c>
      <c r="AM11" s="16" t="str">
        <f t="shared" si="7"/>
        <v/>
      </c>
      <c r="AN11" s="16" t="str">
        <f t="shared" si="8"/>
        <v/>
      </c>
    </row>
    <row r="12" spans="1:40" x14ac:dyDescent="0.25">
      <c r="AF12" s="14">
        <v>4</v>
      </c>
      <c r="AG12" s="14" t="str">
        <f t="shared" si="1"/>
        <v/>
      </c>
      <c r="AH12" s="14" t="str">
        <f t="shared" si="2"/>
        <v/>
      </c>
      <c r="AI12" s="14" t="str">
        <f t="shared" si="3"/>
        <v/>
      </c>
      <c r="AJ12" s="14" t="str">
        <f t="shared" si="4"/>
        <v/>
      </c>
      <c r="AK12" s="15" t="e">
        <f t="shared" si="5"/>
        <v>#VALUE!</v>
      </c>
      <c r="AL12" s="16" t="str">
        <f t="shared" si="6"/>
        <v/>
      </c>
      <c r="AM12" s="16" t="str">
        <f t="shared" si="7"/>
        <v/>
      </c>
      <c r="AN12" s="16" t="str">
        <f t="shared" si="8"/>
        <v/>
      </c>
    </row>
    <row r="13" spans="1:40" x14ac:dyDescent="0.25">
      <c r="AF13" s="14">
        <v>5</v>
      </c>
      <c r="AG13" s="14" t="str">
        <f t="shared" si="1"/>
        <v/>
      </c>
      <c r="AH13" s="14" t="str">
        <f t="shared" si="2"/>
        <v/>
      </c>
      <c r="AI13" s="14" t="str">
        <f t="shared" si="3"/>
        <v/>
      </c>
      <c r="AJ13" s="14" t="str">
        <f t="shared" si="4"/>
        <v/>
      </c>
      <c r="AK13" s="15" t="e">
        <f t="shared" si="5"/>
        <v>#VALUE!</v>
      </c>
      <c r="AL13" s="16" t="str">
        <f t="shared" si="6"/>
        <v/>
      </c>
      <c r="AM13" s="16" t="str">
        <f t="shared" si="7"/>
        <v/>
      </c>
      <c r="AN13" s="16" t="str">
        <f t="shared" si="8"/>
        <v/>
      </c>
    </row>
    <row r="14" spans="1:40" x14ac:dyDescent="0.25">
      <c r="AF14" s="14">
        <v>6</v>
      </c>
      <c r="AG14" s="14" t="str">
        <f t="shared" si="1"/>
        <v/>
      </c>
      <c r="AH14" s="14" t="str">
        <f t="shared" si="2"/>
        <v/>
      </c>
      <c r="AI14" s="14" t="str">
        <f t="shared" si="3"/>
        <v/>
      </c>
      <c r="AJ14" s="14" t="str">
        <f t="shared" si="4"/>
        <v/>
      </c>
      <c r="AK14" s="15" t="e">
        <f t="shared" si="5"/>
        <v>#VALUE!</v>
      </c>
      <c r="AL14" s="16" t="str">
        <f t="shared" si="6"/>
        <v/>
      </c>
      <c r="AM14" s="16" t="str">
        <f t="shared" si="7"/>
        <v/>
      </c>
      <c r="AN14" s="16" t="str">
        <f t="shared" si="8"/>
        <v/>
      </c>
    </row>
    <row r="15" spans="1:40" x14ac:dyDescent="0.25">
      <c r="AF15" s="14">
        <v>7</v>
      </c>
      <c r="AG15" s="14" t="str">
        <f t="shared" si="1"/>
        <v/>
      </c>
      <c r="AH15" s="14" t="str">
        <f t="shared" si="2"/>
        <v/>
      </c>
      <c r="AI15" s="14" t="str">
        <f t="shared" si="3"/>
        <v/>
      </c>
      <c r="AJ15" s="14" t="str">
        <f t="shared" si="4"/>
        <v/>
      </c>
      <c r="AK15" s="15" t="e">
        <f t="shared" si="5"/>
        <v>#VALUE!</v>
      </c>
      <c r="AL15" s="16" t="str">
        <f t="shared" si="6"/>
        <v/>
      </c>
      <c r="AM15" s="16" t="str">
        <f t="shared" si="7"/>
        <v/>
      </c>
      <c r="AN15" s="16" t="str">
        <f t="shared" si="8"/>
        <v/>
      </c>
    </row>
    <row r="16" spans="1:40" x14ac:dyDescent="0.25">
      <c r="AF16" s="14">
        <v>8</v>
      </c>
      <c r="AG16" s="14" t="str">
        <f t="shared" si="1"/>
        <v/>
      </c>
      <c r="AH16" s="14" t="str">
        <f t="shared" si="2"/>
        <v/>
      </c>
      <c r="AI16" s="14" t="str">
        <f t="shared" si="3"/>
        <v/>
      </c>
      <c r="AJ16" s="14" t="str">
        <f t="shared" si="4"/>
        <v/>
      </c>
      <c r="AK16" s="15" t="e">
        <f t="shared" si="5"/>
        <v>#VALUE!</v>
      </c>
      <c r="AL16" s="16" t="str">
        <f t="shared" si="6"/>
        <v/>
      </c>
      <c r="AM16" s="16" t="str">
        <f t="shared" si="7"/>
        <v/>
      </c>
      <c r="AN16" s="16" t="str">
        <f t="shared" si="8"/>
        <v/>
      </c>
    </row>
    <row r="17" spans="32:40" x14ac:dyDescent="0.25">
      <c r="AF17" s="14">
        <v>9</v>
      </c>
      <c r="AG17" s="14" t="str">
        <f t="shared" si="1"/>
        <v/>
      </c>
      <c r="AH17" s="14" t="str">
        <f t="shared" si="2"/>
        <v/>
      </c>
      <c r="AI17" s="14" t="str">
        <f t="shared" si="3"/>
        <v/>
      </c>
      <c r="AJ17" s="14" t="str">
        <f t="shared" si="4"/>
        <v/>
      </c>
      <c r="AK17" s="15" t="e">
        <f t="shared" si="5"/>
        <v>#VALUE!</v>
      </c>
      <c r="AL17" s="16" t="str">
        <f t="shared" si="6"/>
        <v/>
      </c>
      <c r="AM17" s="16" t="str">
        <f t="shared" si="7"/>
        <v/>
      </c>
      <c r="AN17" s="16" t="str">
        <f t="shared" si="8"/>
        <v/>
      </c>
    </row>
    <row r="18" spans="32:40" x14ac:dyDescent="0.25">
      <c r="AF18" s="14">
        <v>10</v>
      </c>
      <c r="AG18" s="14" t="str">
        <f t="shared" si="1"/>
        <v/>
      </c>
      <c r="AH18" s="14" t="str">
        <f t="shared" si="2"/>
        <v/>
      </c>
      <c r="AI18" s="14" t="str">
        <f t="shared" si="3"/>
        <v/>
      </c>
      <c r="AJ18" s="14" t="str">
        <f t="shared" si="4"/>
        <v/>
      </c>
      <c r="AK18" s="15" t="e">
        <f t="shared" si="5"/>
        <v>#VALUE!</v>
      </c>
      <c r="AL18" s="16" t="str">
        <f t="shared" si="6"/>
        <v/>
      </c>
      <c r="AM18" s="16" t="str">
        <f t="shared" si="7"/>
        <v/>
      </c>
      <c r="AN18" s="16" t="str">
        <f t="shared" si="8"/>
        <v/>
      </c>
    </row>
    <row r="19" spans="32:40" ht="18.75" x14ac:dyDescent="0.3">
      <c r="AM19" s="17" t="s">
        <v>10</v>
      </c>
      <c r="AN19" s="18">
        <f>SUM(AN9:AN18)</f>
        <v>3465</v>
      </c>
    </row>
  </sheetData>
  <mergeCells count="1">
    <mergeCell ref="AH1:AL1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ignoredErrors>
    <ignoredError sqref="AK11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76B01-36E4-49AF-A03E-4D0C8ABBC7C1}">
  <sheetPr codeName="Hoja5"/>
  <dimension ref="A1:D3"/>
  <sheetViews>
    <sheetView workbookViewId="0">
      <selection activeCell="A3" sqref="A3"/>
    </sheetView>
  </sheetViews>
  <sheetFormatPr baseColWidth="10" defaultRowHeight="15" x14ac:dyDescent="0.25"/>
  <cols>
    <col min="2" max="2" width="14.5703125" bestFit="1" customWidth="1"/>
    <col min="4" max="4" width="17.42578125" bestFit="1" customWidth="1"/>
  </cols>
  <sheetData>
    <row r="1" spans="1:4" x14ac:dyDescent="0.25">
      <c r="A1" t="s">
        <v>39</v>
      </c>
      <c r="B1" t="s">
        <v>12</v>
      </c>
      <c r="C1" t="s">
        <v>10</v>
      </c>
      <c r="D1" t="s">
        <v>40</v>
      </c>
    </row>
    <row r="2" spans="1:4" x14ac:dyDescent="0.25">
      <c r="A2">
        <v>1</v>
      </c>
      <c r="B2">
        <v>1</v>
      </c>
      <c r="C2">
        <v>1620</v>
      </c>
      <c r="D2" s="2">
        <v>44363</v>
      </c>
    </row>
    <row r="3" spans="1:4" x14ac:dyDescent="0.25">
      <c r="A3">
        <v>2</v>
      </c>
      <c r="B3">
        <v>2</v>
      </c>
      <c r="C3">
        <v>3465</v>
      </c>
      <c r="D3" s="2">
        <v>44363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Menú principal</vt:lpstr>
      <vt:lpstr>Dulces</vt:lpstr>
      <vt:lpstr>Clientes frecuentes</vt:lpstr>
      <vt:lpstr>Ventas</vt:lpstr>
      <vt:lpstr>NUMEROS_DE_NOTA</vt:lpstr>
      <vt:lpstr>Ventas!Área_de_extracción</vt:lpstr>
      <vt:lpstr>Ventas!Área_de_impresión</vt:lpstr>
      <vt:lpstr>Ventas!Criterios</vt:lpstr>
      <vt:lpstr>INICIO</vt:lpstr>
      <vt:lpstr>INICIO_CLIENTES_FRECUENTES</vt:lpstr>
      <vt:lpstr>INICIO_TABLA_DULCES</vt:lpstr>
      <vt:lpstr>INICIO_VENTAS</vt:lpstr>
      <vt:lpstr>InicioNumDeNota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MA</dc:creator>
  <cp:lastModifiedBy>Rafael MA</cp:lastModifiedBy>
  <cp:lastPrinted>2021-06-22T15:56:02Z</cp:lastPrinted>
  <dcterms:created xsi:type="dcterms:W3CDTF">2021-06-09T21:24:12Z</dcterms:created>
  <dcterms:modified xsi:type="dcterms:W3CDTF">2021-06-22T15:59:50Z</dcterms:modified>
</cp:coreProperties>
</file>